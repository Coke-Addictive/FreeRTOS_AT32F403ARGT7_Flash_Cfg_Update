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<sst xmlns="http://schemas.openxmlformats.org/spreadsheetml/2006/main" count="86" uniqueCount="63">
  <si>
    <t>AT32F403ARGT7_Flash_Cfg_Update</t>
  </si>
  <si>
    <t>heap_4.o</t>
  </si>
  <si>
    <t>startup_at32f403a_407.o</t>
  </si>
  <si>
    <t>freertos_app.o</t>
  </si>
  <si>
    <t>app_flash_simple.o</t>
  </si>
  <si>
    <t>tasks.o</t>
  </si>
  <si>
    <t>timers.o</t>
  </si>
  <si>
    <t>log.o</t>
  </si>
  <si>
    <t>queue.o</t>
  </si>
  <si>
    <t>include_port.o</t>
  </si>
  <si>
    <t>mc_w.l</t>
  </si>
  <si>
    <t>stdout.o</t>
  </si>
  <si>
    <t>wk_system.o</t>
  </si>
  <si>
    <t>system_main.o</t>
  </si>
  <si>
    <t>system_at32f403a_407.o</t>
  </si>
  <si>
    <t>printfa.o</t>
  </si>
  <si>
    <t>at32f403a_407_crm.o</t>
  </si>
  <si>
    <t>at32f403a_407_flash.o</t>
  </si>
  <si>
    <t>drv_flash.o</t>
  </si>
  <si>
    <t>mf_w.l</t>
  </si>
  <si>
    <t>at32f403a_407_wk_config.o</t>
  </si>
  <si>
    <t>at32f403a_407_usart.o</t>
  </si>
  <si>
    <t>at32f403a_407_gpio.o</t>
  </si>
  <si>
    <t>dadd.o</t>
  </si>
  <si>
    <t>list.o</t>
  </si>
  <si>
    <t>dmul.o</t>
  </si>
  <si>
    <t>ddiv.o</t>
  </si>
  <si>
    <t>at32f403a_407_crc.o</t>
  </si>
  <si>
    <t>depilogue.o</t>
  </si>
  <si>
    <t>wk_usart.o</t>
  </si>
  <si>
    <t>drv_crc32.o</t>
  </si>
  <si>
    <t>uldiv.o</t>
  </si>
  <si>
    <t>at32f403a_407_tmr.o</t>
  </si>
  <si>
    <t>at32f403a_407_misc.o</t>
  </si>
  <si>
    <t>wk_crc.o</t>
  </si>
  <si>
    <t>dfixul.o</t>
  </si>
  <si>
    <t>cdrcmple.o</t>
  </si>
  <si>
    <t>init.o</t>
  </si>
  <si>
    <t>uidiv.o</t>
  </si>
  <si>
    <t>main.o</t>
  </si>
  <si>
    <t>at32f403a_407_int.o</t>
  </si>
  <si>
    <t>at32f403a_407_pwc.o</t>
  </si>
  <si>
    <t>memseta.o</t>
  </si>
  <si>
    <t>memcpya.o</t>
  </si>
  <si>
    <t>llsshr.o</t>
  </si>
  <si>
    <t>llushr.o</t>
  </si>
  <si>
    <t>llshl.o</t>
  </si>
  <si>
    <t>handlers.o</t>
  </si>
  <si>
    <t>memcmp.o</t>
  </si>
  <si>
    <t>wk_debug.o</t>
  </si>
  <si>
    <t>entry9a.o</t>
  </si>
  <si>
    <t>entry2.o</t>
  </si>
  <si>
    <t>entry5.o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</si>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</sst>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ram_percent!$A$3:$A$55</c:f>
              <c:strCache>
                <c:ptCount val="53"/>
                <c:pt idx="0">
                  <c:v>heap_4.o</c:v>
                </c:pt>
                <c:pt idx="1">
                  <c:v>startup_at32f403a_407.o</c:v>
                </c:pt>
                <c:pt idx="2">
                  <c:v>freertos_app.o</c:v>
                </c:pt>
                <c:pt idx="3">
                  <c:v>app_flash_simple.o</c:v>
                </c:pt>
                <c:pt idx="4">
                  <c:v>tasks.o</c:v>
                </c:pt>
                <c:pt idx="5">
                  <c:v>timers.o</c:v>
                </c:pt>
                <c:pt idx="6">
                  <c:v>log.o</c:v>
                </c:pt>
                <c:pt idx="7">
                  <c:v>queue.o</c:v>
                </c:pt>
                <c:pt idx="8">
                  <c:v>include_port.o</c:v>
                </c:pt>
                <c:pt idx="9">
                  <c:v>mc_w.l</c:v>
                </c:pt>
                <c:pt idx="10">
                  <c:v>stdout.o</c:v>
                </c:pt>
                <c:pt idx="11">
                  <c:v>wk_system.o</c:v>
                </c:pt>
                <c:pt idx="12">
                  <c:v>system_main.o</c:v>
                </c:pt>
                <c:pt idx="13">
                  <c:v>system_at32f403a_407.o</c:v>
                </c:pt>
                <c:pt idx="52">
                  <c:v>Totals</c:v>
                </c:pt>
              </c:strCache>
            </c:strRef>
          </c:cat>
          <c:val>
            <c:numRef>
              <c:f>ram_percent!$B$3:$B$55</c:f>
              <c:numCache>
                <c:formatCode>General</c:formatCode>
                <c:ptCount val="53"/>
                <c:pt idx="0">
                  <c:v>72.36038970947266</c:v>
                </c:pt>
                <c:pt idx="1">
                  <c:v>14.44950103759766</c:v>
                </c:pt>
                <c:pt idx="2">
                  <c:v>6.081772327423096</c:v>
                </c:pt>
                <c:pt idx="3">
                  <c:v>3.718206405639648</c:v>
                </c:pt>
                <c:pt idx="4">
                  <c:v>1.693300843238831</c:v>
                </c:pt>
                <c:pt idx="5">
                  <c:v>1.058313012123108</c:v>
                </c:pt>
                <c:pt idx="6">
                  <c:v>0.310438483953476</c:v>
                </c:pt>
                <c:pt idx="7">
                  <c:v>0.2257734537124634</c:v>
                </c:pt>
                <c:pt idx="8">
                  <c:v>0.03174939006567001</c:v>
                </c:pt>
                <c:pt idx="9">
                  <c:v>0.01411084085702896</c:v>
                </c:pt>
                <c:pt idx="10">
                  <c:v>0.01411084085702896</c:v>
                </c:pt>
                <c:pt idx="11">
                  <c:v>0.01411084085702896</c:v>
                </c:pt>
                <c:pt idx="12">
                  <c:v>0.01411084085702896</c:v>
                </c:pt>
                <c:pt idx="13">
                  <c:v>0.01411084085702896</c:v>
                </c:pt>
                <c:pt idx="52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flash_percent!$A$3:$A$55</c:f>
              <c:strCache>
                <c:ptCount val="53"/>
                <c:pt idx="0">
                  <c:v>app_flash_simple.o</c:v>
                </c:pt>
                <c:pt idx="1">
                  <c:v>tasks.o</c:v>
                </c:pt>
                <c:pt idx="2">
                  <c:v>queue.o</c:v>
                </c:pt>
                <c:pt idx="3">
                  <c:v>mc_w.l</c:v>
                </c:pt>
                <c:pt idx="4">
                  <c:v>printfa.o</c:v>
                </c:pt>
                <c:pt idx="5">
                  <c:v>timers.o</c:v>
                </c:pt>
                <c:pt idx="6">
                  <c:v>at32f403a_407_crm.o</c:v>
                </c:pt>
                <c:pt idx="7">
                  <c:v>at32f403a_407_flash.o</c:v>
                </c:pt>
                <c:pt idx="8">
                  <c:v>drv_flash.o</c:v>
                </c:pt>
                <c:pt idx="9">
                  <c:v>include_port.o</c:v>
                </c:pt>
                <c:pt idx="10">
                  <c:v>heap_4.o</c:v>
                </c:pt>
                <c:pt idx="11">
                  <c:v>mf_w.l</c:v>
                </c:pt>
                <c:pt idx="12">
                  <c:v>system_main.o</c:v>
                </c:pt>
                <c:pt idx="13">
                  <c:v>at32f403a_407_wk_config.o</c:v>
                </c:pt>
                <c:pt idx="14">
                  <c:v>at32f403a_407_usart.o</c:v>
                </c:pt>
                <c:pt idx="15">
                  <c:v>system_at32f403a_407.o</c:v>
                </c:pt>
                <c:pt idx="16">
                  <c:v>at32f403a_407_gpio.o</c:v>
                </c:pt>
                <c:pt idx="17">
                  <c:v>startup_at32f403a_407.o</c:v>
                </c:pt>
                <c:pt idx="18">
                  <c:v>log.o</c:v>
                </c:pt>
                <c:pt idx="19">
                  <c:v>dadd.o</c:v>
                </c:pt>
                <c:pt idx="20">
                  <c:v>freertos_app.o</c:v>
                </c:pt>
                <c:pt idx="21">
                  <c:v>list.o</c:v>
                </c:pt>
                <c:pt idx="22">
                  <c:v>dmul.o</c:v>
                </c:pt>
                <c:pt idx="23">
                  <c:v>ddiv.o</c:v>
                </c:pt>
                <c:pt idx="24">
                  <c:v>at32f403a_407_crc.o</c:v>
                </c:pt>
                <c:pt idx="25">
                  <c:v>depilogue.o</c:v>
                </c:pt>
                <c:pt idx="26">
                  <c:v>wk_system.o</c:v>
                </c:pt>
                <c:pt idx="27">
                  <c:v>wk_usart.o</c:v>
                </c:pt>
                <c:pt idx="28">
                  <c:v>drv_crc32.o</c:v>
                </c:pt>
                <c:pt idx="29">
                  <c:v>uldiv.o</c:v>
                </c:pt>
                <c:pt idx="30">
                  <c:v>at32f403a_407_tmr.o</c:v>
                </c:pt>
                <c:pt idx="31">
                  <c:v>at32f403a_407_misc.o</c:v>
                </c:pt>
                <c:pt idx="32">
                  <c:v>wk_crc.o</c:v>
                </c:pt>
                <c:pt idx="33">
                  <c:v>dfixul.o</c:v>
                </c:pt>
                <c:pt idx="34">
                  <c:v>cdrcmple.o</c:v>
                </c:pt>
                <c:pt idx="35">
                  <c:v>init.o</c:v>
                </c:pt>
                <c:pt idx="36">
                  <c:v>uidiv.o</c:v>
                </c:pt>
                <c:pt idx="37">
                  <c:v>main.o</c:v>
                </c:pt>
                <c:pt idx="38">
                  <c:v>at32f403a_407_int.o</c:v>
                </c:pt>
                <c:pt idx="39">
                  <c:v>at32f403a_407_pwc.o</c:v>
                </c:pt>
                <c:pt idx="40">
                  <c:v>memseta.o</c:v>
                </c:pt>
                <c:pt idx="41">
                  <c:v>memcpya.o</c:v>
                </c:pt>
                <c:pt idx="42">
                  <c:v>llsshr.o</c:v>
                </c:pt>
                <c:pt idx="43">
                  <c:v>llushr.o</c:v>
                </c:pt>
                <c:pt idx="44">
                  <c:v>llshl.o</c:v>
                </c:pt>
                <c:pt idx="45">
                  <c:v>handlers.o</c:v>
                </c:pt>
                <c:pt idx="46">
                  <c:v>memcmp.o</c:v>
                </c:pt>
                <c:pt idx="47">
                  <c:v>wk_debug.o</c:v>
                </c:pt>
                <c:pt idx="48">
                  <c:v>entry9a.o</c:v>
                </c:pt>
                <c:pt idx="49">
                  <c:v>entry2.o</c:v>
                </c:pt>
                <c:pt idx="50">
                  <c:v>stdout.o</c:v>
                </c:pt>
                <c:pt idx="51">
                  <c:v>entry5.o</c:v>
                </c:pt>
                <c:pt idx="52">
                  <c:v>Totals</c:v>
                </c:pt>
              </c:strCache>
            </c:strRef>
          </c:cat>
          <c:val>
            <c:numRef>
              <c:f>flash_percent!$B$3:$B$55</c:f>
              <c:numCache>
                <c:formatCode>General</c:formatCode>
                <c:ptCount val="53"/>
                <c:pt idx="0">
                  <c:v>15.58939743041992</c:v>
                </c:pt>
                <c:pt idx="1">
                  <c:v>13.03887367248535</c:v>
                </c:pt>
                <c:pt idx="2">
                  <c:v>10.23072052001953</c:v>
                </c:pt>
                <c:pt idx="3">
                  <c:v>7.768935680389404</c:v>
                </c:pt>
                <c:pt idx="4">
                  <c:v>6.509417533874512</c:v>
                </c:pt>
                <c:pt idx="5">
                  <c:v>4.880631923675537</c:v>
                </c:pt>
                <c:pt idx="6">
                  <c:v>4.041907787322998</c:v>
                </c:pt>
                <c:pt idx="7">
                  <c:v>3.709852933883667</c:v>
                </c:pt>
                <c:pt idx="8">
                  <c:v>3.664052248001099</c:v>
                </c:pt>
                <c:pt idx="9">
                  <c:v>3.24039626121521</c:v>
                </c:pt>
                <c:pt idx="10">
                  <c:v>3.21177077293396</c:v>
                </c:pt>
                <c:pt idx="11">
                  <c:v>3.051468372344971</c:v>
                </c:pt>
                <c:pt idx="12">
                  <c:v>2.999942779541016</c:v>
                </c:pt>
                <c:pt idx="13">
                  <c:v>1.935077548027039</c:v>
                </c:pt>
                <c:pt idx="14">
                  <c:v>1.837751150131226</c:v>
                </c:pt>
                <c:pt idx="15">
                  <c:v>1.723249554634094</c:v>
                </c:pt>
                <c:pt idx="16">
                  <c:v>1.45417070388794</c:v>
                </c:pt>
                <c:pt idx="17">
                  <c:v>1.213717341423035</c:v>
                </c:pt>
                <c:pt idx="18">
                  <c:v>1.01047694683075</c:v>
                </c:pt>
                <c:pt idx="19">
                  <c:v>0.9560886025428772</c:v>
                </c:pt>
                <c:pt idx="20">
                  <c:v>0.9360508322715759</c:v>
                </c:pt>
                <c:pt idx="21">
                  <c:v>0.8473120927810669</c:v>
                </c:pt>
                <c:pt idx="22">
                  <c:v>0.6526592969894409</c:v>
                </c:pt>
                <c:pt idx="23">
                  <c:v>0.6354840397834778</c:v>
                </c:pt>
                <c:pt idx="24">
                  <c:v>0.5896834135055542</c:v>
                </c:pt>
                <c:pt idx="25">
                  <c:v>0.5324326157569885</c:v>
                </c:pt>
                <c:pt idx="26">
                  <c:v>0.4866319298744202</c:v>
                </c:pt>
                <c:pt idx="27">
                  <c:v>0.3377798199653626</c:v>
                </c:pt>
                <c:pt idx="28">
                  <c:v>0.3320547342300415</c:v>
                </c:pt>
                <c:pt idx="29">
                  <c:v>0.2805289924144745</c:v>
                </c:pt>
                <c:pt idx="30">
                  <c:v>0.2690788209438324</c:v>
                </c:pt>
                <c:pt idx="31">
                  <c:v>0.2290032655000687</c:v>
                </c:pt>
                <c:pt idx="32">
                  <c:v>0.1488521248102188</c:v>
                </c:pt>
                <c:pt idx="33">
                  <c:v>0.1374019533395767</c:v>
                </c:pt>
                <c:pt idx="34">
                  <c:v>0.1374019533395767</c:v>
                </c:pt>
                <c:pt idx="35">
                  <c:v>0.1374019533395767</c:v>
                </c:pt>
                <c:pt idx="36">
                  <c:v>0.1259517967700958</c:v>
                </c:pt>
                <c:pt idx="37">
                  <c:v>0.1259517967700958</c:v>
                </c:pt>
                <c:pt idx="38">
                  <c:v>0.1145016327500343</c:v>
                </c:pt>
                <c:pt idx="39">
                  <c:v>0.1087765470147133</c:v>
                </c:pt>
                <c:pt idx="40">
                  <c:v>0.1030514687299728</c:v>
                </c:pt>
                <c:pt idx="41">
                  <c:v>0.1030514687299728</c:v>
                </c:pt>
                <c:pt idx="42">
                  <c:v>0.1030514687299728</c:v>
                </c:pt>
                <c:pt idx="43">
                  <c:v>0.09160130470991135</c:v>
                </c:pt>
                <c:pt idx="44">
                  <c:v>0.0858762264251709</c:v>
                </c:pt>
                <c:pt idx="45">
                  <c:v>0.0858762264251709</c:v>
                </c:pt>
                <c:pt idx="46">
                  <c:v>0.07442606240510941</c:v>
                </c:pt>
                <c:pt idx="47">
                  <c:v>0.05152573436498642</c:v>
                </c:pt>
                <c:pt idx="48">
                  <c:v>0.02290032617747784</c:v>
                </c:pt>
                <c:pt idx="49">
                  <c:v>0.02290032617747784</c:v>
                </c:pt>
                <c:pt idx="50">
                  <c:v>0.01145016308873892</c:v>
                </c:pt>
                <c:pt idx="51">
                  <c:v>0.01145016308873892</c:v>
                </c:pt>
                <c:pt idx="52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55" totalsRowCount="1">
  <autoFilter ref="A2:H54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55" totalsRowCount="1">
  <autoFilter ref="A2:H54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53</v>
      </c>
      <c r="B2" t="s">
        <v>55</v>
      </c>
      <c r="C2" t="s">
        <v>56</v>
      </c>
      <c r="D2" t="s">
        <v>57</v>
      </c>
      <c r="E2" t="s">
        <v>58</v>
      </c>
      <c r="F2" t="s">
        <v>59</v>
      </c>
      <c r="G2" t="s">
        <v>60</v>
      </c>
      <c r="H2" t="s">
        <v>61</v>
      </c>
    </row>
    <row r="3" spans="1:8">
      <c r="A3" s="1" t="s">
        <v>1</v>
      </c>
      <c r="B3" s="2">
        <v>72.36038970947266</v>
      </c>
      <c r="C3" s="1">
        <v>20512</v>
      </c>
      <c r="D3" s="1">
        <v>1122</v>
      </c>
      <c r="E3" s="1">
        <v>1122</v>
      </c>
      <c r="F3" s="1">
        <v>0</v>
      </c>
      <c r="G3" s="1">
        <v>0</v>
      </c>
      <c r="H3" s="1">
        <v>20512</v>
      </c>
    </row>
    <row r="4" spans="1:8">
      <c r="A4" s="1" t="s">
        <v>2</v>
      </c>
      <c r="B4" s="2">
        <v>14.44950103759766</v>
      </c>
      <c r="C4" s="1">
        <v>4096</v>
      </c>
      <c r="D4" s="1">
        <v>424</v>
      </c>
      <c r="E4" s="1">
        <v>36</v>
      </c>
      <c r="F4" s="1">
        <v>388</v>
      </c>
      <c r="G4" s="1">
        <v>0</v>
      </c>
      <c r="H4" s="1">
        <v>4096</v>
      </c>
    </row>
    <row r="5" spans="1:8">
      <c r="A5" s="1" t="s">
        <v>3</v>
      </c>
      <c r="B5" s="2">
        <v>6.081772327423096</v>
      </c>
      <c r="C5" s="1">
        <v>1724</v>
      </c>
      <c r="D5" s="1">
        <v>327</v>
      </c>
      <c r="E5" s="1">
        <v>266</v>
      </c>
      <c r="F5" s="1">
        <v>61</v>
      </c>
      <c r="G5" s="1">
        <v>0</v>
      </c>
      <c r="H5" s="1">
        <v>1724</v>
      </c>
    </row>
    <row r="6" spans="1:8">
      <c r="A6" s="1" t="s">
        <v>4</v>
      </c>
      <c r="B6" s="2">
        <v>3.718206405639648</v>
      </c>
      <c r="C6" s="1">
        <v>1054</v>
      </c>
      <c r="D6" s="1">
        <v>5446</v>
      </c>
      <c r="E6" s="1">
        <v>3078</v>
      </c>
      <c r="F6" s="1">
        <v>2368</v>
      </c>
      <c r="G6" s="1">
        <v>0</v>
      </c>
      <c r="H6" s="1">
        <v>1054</v>
      </c>
    </row>
    <row r="7" spans="1:8">
      <c r="A7" s="1" t="s">
        <v>5</v>
      </c>
      <c r="B7" s="2">
        <v>1.693300843238831</v>
      </c>
      <c r="C7" s="1">
        <v>480</v>
      </c>
      <c r="D7" s="1">
        <v>4555</v>
      </c>
      <c r="E7" s="1">
        <v>4546</v>
      </c>
      <c r="F7" s="1">
        <v>9</v>
      </c>
      <c r="G7" s="1">
        <v>0</v>
      </c>
      <c r="H7" s="1">
        <v>480</v>
      </c>
    </row>
    <row r="8" spans="1:8">
      <c r="A8" s="1" t="s">
        <v>6</v>
      </c>
      <c r="B8" s="2">
        <v>1.058313012123108</v>
      </c>
      <c r="C8" s="1">
        <v>300</v>
      </c>
      <c r="D8" s="1">
        <v>1705</v>
      </c>
      <c r="E8" s="1">
        <v>1692</v>
      </c>
      <c r="F8" s="1">
        <v>13</v>
      </c>
      <c r="G8" s="1">
        <v>0</v>
      </c>
      <c r="H8" s="1">
        <v>300</v>
      </c>
    </row>
    <row r="9" spans="1:8">
      <c r="A9" s="1" t="s">
        <v>7</v>
      </c>
      <c r="B9" s="2">
        <v>0.310438483953476</v>
      </c>
      <c r="C9" s="1">
        <v>88</v>
      </c>
      <c r="D9" s="1">
        <v>353</v>
      </c>
      <c r="E9" s="1">
        <v>336</v>
      </c>
      <c r="F9" s="1">
        <v>17</v>
      </c>
      <c r="G9" s="1">
        <v>0</v>
      </c>
      <c r="H9" s="1">
        <v>88</v>
      </c>
    </row>
    <row r="10" spans="1:8">
      <c r="A10" s="1" t="s">
        <v>8</v>
      </c>
      <c r="B10" s="2">
        <v>0.2257734537124634</v>
      </c>
      <c r="C10" s="1">
        <v>64</v>
      </c>
      <c r="D10" s="1">
        <v>3574</v>
      </c>
      <c r="E10" s="1">
        <v>3574</v>
      </c>
      <c r="F10" s="1">
        <v>0</v>
      </c>
      <c r="G10" s="1">
        <v>0</v>
      </c>
      <c r="H10" s="1">
        <v>64</v>
      </c>
    </row>
    <row r="11" spans="1:8">
      <c r="A11" s="1" t="s">
        <v>9</v>
      </c>
      <c r="B11" s="2">
        <v>0.03174939006567001</v>
      </c>
      <c r="C11" s="1">
        <v>9</v>
      </c>
      <c r="D11" s="1">
        <v>1132</v>
      </c>
      <c r="E11" s="1">
        <v>1128</v>
      </c>
      <c r="F11" s="1">
        <v>0</v>
      </c>
      <c r="G11" s="1">
        <v>4</v>
      </c>
      <c r="H11" s="1">
        <v>5</v>
      </c>
    </row>
    <row r="12" spans="1:8">
      <c r="A12" s="1" t="s">
        <v>10</v>
      </c>
      <c r="B12" s="2">
        <v>0.01411084085702896</v>
      </c>
      <c r="C12" s="1">
        <v>4</v>
      </c>
      <c r="D12" s="1">
        <v>2714</v>
      </c>
      <c r="E12" s="1">
        <v>2710</v>
      </c>
      <c r="F12" s="1">
        <v>0</v>
      </c>
      <c r="G12" s="1">
        <v>4</v>
      </c>
      <c r="H12" s="1">
        <v>0</v>
      </c>
    </row>
    <row r="13" spans="1:8">
      <c r="A13" s="1" t="s">
        <v>11</v>
      </c>
      <c r="B13" s="2">
        <v>0.01411084085702896</v>
      </c>
      <c r="C13" s="1">
        <v>4</v>
      </c>
      <c r="D13" s="1">
        <v>4</v>
      </c>
      <c r="E13" s="1">
        <v>0</v>
      </c>
      <c r="F13" s="1">
        <v>0</v>
      </c>
      <c r="G13" s="1">
        <v>4</v>
      </c>
      <c r="H13" s="1">
        <v>0</v>
      </c>
    </row>
    <row r="14" spans="1:8">
      <c r="A14" s="1" t="s">
        <v>12</v>
      </c>
      <c r="B14" s="2">
        <v>0.01411084085702896</v>
      </c>
      <c r="C14" s="1">
        <v>4</v>
      </c>
      <c r="D14" s="1">
        <v>170</v>
      </c>
      <c r="E14" s="1">
        <v>170</v>
      </c>
      <c r="F14" s="1">
        <v>0</v>
      </c>
      <c r="G14" s="1">
        <v>0</v>
      </c>
      <c r="H14" s="1">
        <v>4</v>
      </c>
    </row>
    <row r="15" spans="1:8">
      <c r="A15" s="1" t="s">
        <v>13</v>
      </c>
      <c r="B15" s="2">
        <v>0.01411084085702896</v>
      </c>
      <c r="C15" s="1">
        <v>4</v>
      </c>
      <c r="D15" s="1">
        <v>1048</v>
      </c>
      <c r="E15" s="1">
        <v>674</v>
      </c>
      <c r="F15" s="1">
        <v>374</v>
      </c>
      <c r="G15" s="1">
        <v>0</v>
      </c>
      <c r="H15" s="1">
        <v>4</v>
      </c>
    </row>
    <row r="16" spans="1:8">
      <c r="A16" s="1" t="s">
        <v>14</v>
      </c>
      <c r="B16" s="2">
        <v>0.01411084085702896</v>
      </c>
      <c r="C16" s="1">
        <v>4</v>
      </c>
      <c r="D16" s="1">
        <v>602</v>
      </c>
      <c r="E16" s="1">
        <v>582</v>
      </c>
      <c r="F16" s="1">
        <v>16</v>
      </c>
      <c r="G16" s="1">
        <v>4</v>
      </c>
      <c r="H16" s="1">
        <v>0</v>
      </c>
    </row>
    <row r="55" spans="1:8">
      <c r="A55" t="s">
        <v>54</v>
      </c>
      <c r="B55">
        <f>SUBTOTAL(109,[ram_percent])</f>
        <v>0</v>
      </c>
      <c r="C55">
        <f>SUBTOTAL(109,[ram])</f>
        <v>0</v>
      </c>
      <c r="D55">
        <f>SUBTOTAL(109,[flash])</f>
        <v>0</v>
      </c>
      <c r="E55">
        <f>SUBTOTAL(109,[Code])</f>
        <v>0</v>
      </c>
      <c r="F55">
        <f>SUBTOTAL(109,[RO_data])</f>
        <v>0</v>
      </c>
      <c r="G55">
        <f>SUBTOTAL(109,[RW_data])</f>
        <v>0</v>
      </c>
      <c r="H55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53</v>
      </c>
      <c r="B2" t="s">
        <v>62</v>
      </c>
      <c r="C2" t="s">
        <v>57</v>
      </c>
      <c r="D2" t="s">
        <v>56</v>
      </c>
      <c r="E2" t="s">
        <v>58</v>
      </c>
      <c r="F2" t="s">
        <v>59</v>
      </c>
      <c r="G2" t="s">
        <v>60</v>
      </c>
      <c r="H2" t="s">
        <v>61</v>
      </c>
    </row>
    <row r="3" spans="1:8">
      <c r="A3" s="1" t="s">
        <v>4</v>
      </c>
      <c r="B3" s="2">
        <v>15.58939743041992</v>
      </c>
      <c r="C3" s="1">
        <v>5446</v>
      </c>
      <c r="D3" s="1">
        <v>1054</v>
      </c>
      <c r="E3" s="1">
        <v>3078</v>
      </c>
      <c r="F3" s="1">
        <v>2368</v>
      </c>
      <c r="G3" s="1">
        <v>0</v>
      </c>
      <c r="H3" s="1">
        <v>1054</v>
      </c>
    </row>
    <row r="4" spans="1:8">
      <c r="A4" s="1" t="s">
        <v>5</v>
      </c>
      <c r="B4" s="2">
        <v>13.03887367248535</v>
      </c>
      <c r="C4" s="1">
        <v>4555</v>
      </c>
      <c r="D4" s="1">
        <v>480</v>
      </c>
      <c r="E4" s="1">
        <v>4546</v>
      </c>
      <c r="F4" s="1">
        <v>9</v>
      </c>
      <c r="G4" s="1">
        <v>0</v>
      </c>
      <c r="H4" s="1">
        <v>480</v>
      </c>
    </row>
    <row r="5" spans="1:8">
      <c r="A5" s="1" t="s">
        <v>8</v>
      </c>
      <c r="B5" s="2">
        <v>10.23072052001953</v>
      </c>
      <c r="C5" s="1">
        <v>3574</v>
      </c>
      <c r="D5" s="1">
        <v>64</v>
      </c>
      <c r="E5" s="1">
        <v>3574</v>
      </c>
      <c r="F5" s="1">
        <v>0</v>
      </c>
      <c r="G5" s="1">
        <v>0</v>
      </c>
      <c r="H5" s="1">
        <v>64</v>
      </c>
    </row>
    <row r="6" spans="1:8">
      <c r="A6" s="1" t="s">
        <v>10</v>
      </c>
      <c r="B6" s="2">
        <v>7.768935680389404</v>
      </c>
      <c r="C6" s="1">
        <v>2714</v>
      </c>
      <c r="D6" s="1">
        <v>4</v>
      </c>
      <c r="E6" s="1">
        <v>2710</v>
      </c>
      <c r="F6" s="1">
        <v>0</v>
      </c>
      <c r="G6" s="1">
        <v>4</v>
      </c>
      <c r="H6" s="1">
        <v>0</v>
      </c>
    </row>
    <row r="7" spans="1:8">
      <c r="A7" s="1" t="s">
        <v>15</v>
      </c>
      <c r="B7" s="2">
        <v>6.509417533874512</v>
      </c>
      <c r="C7" s="1">
        <v>2274</v>
      </c>
      <c r="D7" s="1">
        <v>0</v>
      </c>
      <c r="E7" s="1">
        <v>2274</v>
      </c>
      <c r="F7" s="1">
        <v>0</v>
      </c>
      <c r="G7" s="1">
        <v>0</v>
      </c>
      <c r="H7" s="1">
        <v>0</v>
      </c>
    </row>
    <row r="8" spans="1:8">
      <c r="A8" s="1" t="s">
        <v>6</v>
      </c>
      <c r="B8" s="2">
        <v>4.880631923675537</v>
      </c>
      <c r="C8" s="1">
        <v>1705</v>
      </c>
      <c r="D8" s="1">
        <v>300</v>
      </c>
      <c r="E8" s="1">
        <v>1692</v>
      </c>
      <c r="F8" s="1">
        <v>13</v>
      </c>
      <c r="G8" s="1">
        <v>0</v>
      </c>
      <c r="H8" s="1">
        <v>300</v>
      </c>
    </row>
    <row r="9" spans="1:8">
      <c r="A9" s="1" t="s">
        <v>16</v>
      </c>
      <c r="B9" s="2">
        <v>4.041907787322998</v>
      </c>
      <c r="C9" s="1">
        <v>1412</v>
      </c>
      <c r="D9" s="1">
        <v>0</v>
      </c>
      <c r="E9" s="1">
        <v>1372</v>
      </c>
      <c r="F9" s="1">
        <v>40</v>
      </c>
      <c r="G9" s="1">
        <v>0</v>
      </c>
      <c r="H9" s="1">
        <v>0</v>
      </c>
    </row>
    <row r="10" spans="1:8">
      <c r="A10" s="1" t="s">
        <v>17</v>
      </c>
      <c r="B10" s="2">
        <v>3.709852933883667</v>
      </c>
      <c r="C10" s="1">
        <v>1296</v>
      </c>
      <c r="D10" s="1">
        <v>0</v>
      </c>
      <c r="E10" s="1">
        <v>1296</v>
      </c>
      <c r="F10" s="1">
        <v>0</v>
      </c>
      <c r="G10" s="1">
        <v>0</v>
      </c>
      <c r="H10" s="1">
        <v>0</v>
      </c>
    </row>
    <row r="11" spans="1:8">
      <c r="A11" s="1" t="s">
        <v>18</v>
      </c>
      <c r="B11" s="2">
        <v>3.664052248001099</v>
      </c>
      <c r="C11" s="1">
        <v>1280</v>
      </c>
      <c r="D11" s="1">
        <v>0</v>
      </c>
      <c r="E11" s="1">
        <v>1280</v>
      </c>
      <c r="F11" s="1">
        <v>0</v>
      </c>
      <c r="G11" s="1">
        <v>0</v>
      </c>
      <c r="H11" s="1">
        <v>0</v>
      </c>
    </row>
    <row r="12" spans="1:8">
      <c r="A12" s="1" t="s">
        <v>9</v>
      </c>
      <c r="B12" s="2">
        <v>3.24039626121521</v>
      </c>
      <c r="C12" s="1">
        <v>1132</v>
      </c>
      <c r="D12" s="1">
        <v>9</v>
      </c>
      <c r="E12" s="1">
        <v>1128</v>
      </c>
      <c r="F12" s="1">
        <v>0</v>
      </c>
      <c r="G12" s="1">
        <v>4</v>
      </c>
      <c r="H12" s="1">
        <v>5</v>
      </c>
    </row>
    <row r="13" spans="1:8">
      <c r="A13" s="1" t="s">
        <v>1</v>
      </c>
      <c r="B13" s="2">
        <v>3.21177077293396</v>
      </c>
      <c r="C13" s="1">
        <v>1122</v>
      </c>
      <c r="D13" s="1">
        <v>20512</v>
      </c>
      <c r="E13" s="1">
        <v>1122</v>
      </c>
      <c r="F13" s="1">
        <v>0</v>
      </c>
      <c r="G13" s="1">
        <v>0</v>
      </c>
      <c r="H13" s="1">
        <v>20512</v>
      </c>
    </row>
    <row r="14" spans="1:8">
      <c r="A14" s="1" t="s">
        <v>19</v>
      </c>
      <c r="B14" s="2">
        <v>3.051468372344971</v>
      </c>
      <c r="C14" s="1">
        <v>1066</v>
      </c>
      <c r="D14" s="1">
        <v>0</v>
      </c>
      <c r="E14" s="1">
        <v>1066</v>
      </c>
      <c r="F14" s="1">
        <v>0</v>
      </c>
      <c r="G14" s="1">
        <v>0</v>
      </c>
      <c r="H14" s="1">
        <v>0</v>
      </c>
    </row>
    <row r="15" spans="1:8">
      <c r="A15" s="1" t="s">
        <v>13</v>
      </c>
      <c r="B15" s="2">
        <v>2.999942779541016</v>
      </c>
      <c r="C15" s="1">
        <v>1048</v>
      </c>
      <c r="D15" s="1">
        <v>4</v>
      </c>
      <c r="E15" s="1">
        <v>674</v>
      </c>
      <c r="F15" s="1">
        <v>374</v>
      </c>
      <c r="G15" s="1">
        <v>0</v>
      </c>
      <c r="H15" s="1">
        <v>4</v>
      </c>
    </row>
    <row r="16" spans="1:8">
      <c r="A16" s="1" t="s">
        <v>20</v>
      </c>
      <c r="B16" s="2">
        <v>1.935077548027039</v>
      </c>
      <c r="C16" s="1">
        <v>676</v>
      </c>
      <c r="D16" s="1">
        <v>0</v>
      </c>
      <c r="E16" s="1">
        <v>676</v>
      </c>
      <c r="F16" s="1">
        <v>0</v>
      </c>
      <c r="G16" s="1">
        <v>0</v>
      </c>
      <c r="H16" s="1">
        <v>0</v>
      </c>
    </row>
    <row r="17" spans="1:8">
      <c r="A17" s="1" t="s">
        <v>21</v>
      </c>
      <c r="B17" s="2">
        <v>1.837751150131226</v>
      </c>
      <c r="C17" s="1">
        <v>642</v>
      </c>
      <c r="D17" s="1">
        <v>0</v>
      </c>
      <c r="E17" s="1">
        <v>642</v>
      </c>
      <c r="F17" s="1">
        <v>0</v>
      </c>
      <c r="G17" s="1">
        <v>0</v>
      </c>
      <c r="H17" s="1">
        <v>0</v>
      </c>
    </row>
    <row r="18" spans="1:8">
      <c r="A18" s="1" t="s">
        <v>14</v>
      </c>
      <c r="B18" s="2">
        <v>1.723249554634094</v>
      </c>
      <c r="C18" s="1">
        <v>602</v>
      </c>
      <c r="D18" s="1">
        <v>4</v>
      </c>
      <c r="E18" s="1">
        <v>582</v>
      </c>
      <c r="F18" s="1">
        <v>16</v>
      </c>
      <c r="G18" s="1">
        <v>4</v>
      </c>
      <c r="H18" s="1">
        <v>0</v>
      </c>
    </row>
    <row r="19" spans="1:8">
      <c r="A19" s="1" t="s">
        <v>22</v>
      </c>
      <c r="B19" s="2">
        <v>1.45417070388794</v>
      </c>
      <c r="C19" s="1">
        <v>508</v>
      </c>
      <c r="D19" s="1">
        <v>0</v>
      </c>
      <c r="E19" s="1">
        <v>508</v>
      </c>
      <c r="F19" s="1">
        <v>0</v>
      </c>
      <c r="G19" s="1">
        <v>0</v>
      </c>
      <c r="H19" s="1">
        <v>0</v>
      </c>
    </row>
    <row r="20" spans="1:8">
      <c r="A20" s="1" t="s">
        <v>2</v>
      </c>
      <c r="B20" s="2">
        <v>1.213717341423035</v>
      </c>
      <c r="C20" s="1">
        <v>424</v>
      </c>
      <c r="D20" s="1">
        <v>4096</v>
      </c>
      <c r="E20" s="1">
        <v>36</v>
      </c>
      <c r="F20" s="1">
        <v>388</v>
      </c>
      <c r="G20" s="1">
        <v>0</v>
      </c>
      <c r="H20" s="1">
        <v>4096</v>
      </c>
    </row>
    <row r="21" spans="1:8">
      <c r="A21" s="1" t="s">
        <v>7</v>
      </c>
      <c r="B21" s="2">
        <v>1.01047694683075</v>
      </c>
      <c r="C21" s="1">
        <v>353</v>
      </c>
      <c r="D21" s="1">
        <v>88</v>
      </c>
      <c r="E21" s="1">
        <v>336</v>
      </c>
      <c r="F21" s="1">
        <v>17</v>
      </c>
      <c r="G21" s="1">
        <v>0</v>
      </c>
      <c r="H21" s="1">
        <v>88</v>
      </c>
    </row>
    <row r="22" spans="1:8">
      <c r="A22" s="1" t="s">
        <v>23</v>
      </c>
      <c r="B22" s="2">
        <v>0.9560886025428772</v>
      </c>
      <c r="C22" s="1">
        <v>334</v>
      </c>
      <c r="D22" s="1">
        <v>0</v>
      </c>
      <c r="E22" s="1">
        <v>334</v>
      </c>
      <c r="F22" s="1">
        <v>0</v>
      </c>
      <c r="G22" s="1">
        <v>0</v>
      </c>
      <c r="H22" s="1">
        <v>0</v>
      </c>
    </row>
    <row r="23" spans="1:8">
      <c r="A23" s="1" t="s">
        <v>3</v>
      </c>
      <c r="B23" s="2">
        <v>0.9360508322715759</v>
      </c>
      <c r="C23" s="1">
        <v>327</v>
      </c>
      <c r="D23" s="1">
        <v>1724</v>
      </c>
      <c r="E23" s="1">
        <v>266</v>
      </c>
      <c r="F23" s="1">
        <v>61</v>
      </c>
      <c r="G23" s="1">
        <v>0</v>
      </c>
      <c r="H23" s="1">
        <v>1724</v>
      </c>
    </row>
    <row r="24" spans="1:8">
      <c r="A24" s="1" t="s">
        <v>24</v>
      </c>
      <c r="B24" s="2">
        <v>0.8473120927810669</v>
      </c>
      <c r="C24" s="1">
        <v>296</v>
      </c>
      <c r="D24" s="1">
        <v>0</v>
      </c>
      <c r="E24" s="1">
        <v>296</v>
      </c>
      <c r="F24" s="1">
        <v>0</v>
      </c>
      <c r="G24" s="1">
        <v>0</v>
      </c>
      <c r="H24" s="1">
        <v>0</v>
      </c>
    </row>
    <row r="25" spans="1:8">
      <c r="A25" s="1" t="s">
        <v>25</v>
      </c>
      <c r="B25" s="2">
        <v>0.6526592969894409</v>
      </c>
      <c r="C25" s="1">
        <v>228</v>
      </c>
      <c r="D25" s="1">
        <v>0</v>
      </c>
      <c r="E25" s="1">
        <v>228</v>
      </c>
      <c r="F25" s="1">
        <v>0</v>
      </c>
      <c r="G25" s="1">
        <v>0</v>
      </c>
      <c r="H25" s="1">
        <v>0</v>
      </c>
    </row>
    <row r="26" spans="1:8">
      <c r="A26" s="1" t="s">
        <v>26</v>
      </c>
      <c r="B26" s="2">
        <v>0.6354840397834778</v>
      </c>
      <c r="C26" s="1">
        <v>222</v>
      </c>
      <c r="D26" s="1">
        <v>0</v>
      </c>
      <c r="E26" s="1">
        <v>222</v>
      </c>
      <c r="F26" s="1">
        <v>0</v>
      </c>
      <c r="G26" s="1">
        <v>0</v>
      </c>
      <c r="H26" s="1">
        <v>0</v>
      </c>
    </row>
    <row r="27" spans="1:8">
      <c r="A27" s="1" t="s">
        <v>27</v>
      </c>
      <c r="B27" s="2">
        <v>0.5896834135055542</v>
      </c>
      <c r="C27" s="1">
        <v>206</v>
      </c>
      <c r="D27" s="1">
        <v>0</v>
      </c>
      <c r="E27" s="1">
        <v>206</v>
      </c>
      <c r="F27" s="1">
        <v>0</v>
      </c>
      <c r="G27" s="1">
        <v>0</v>
      </c>
      <c r="H27" s="1">
        <v>0</v>
      </c>
    </row>
    <row r="28" spans="1:8">
      <c r="A28" s="1" t="s">
        <v>28</v>
      </c>
      <c r="B28" s="2">
        <v>0.5324326157569885</v>
      </c>
      <c r="C28" s="1">
        <v>186</v>
      </c>
      <c r="D28" s="1">
        <v>0</v>
      </c>
      <c r="E28" s="1">
        <v>186</v>
      </c>
      <c r="F28" s="1">
        <v>0</v>
      </c>
      <c r="G28" s="1">
        <v>0</v>
      </c>
      <c r="H28" s="1">
        <v>0</v>
      </c>
    </row>
    <row r="29" spans="1:8">
      <c r="A29" s="1" t="s">
        <v>12</v>
      </c>
      <c r="B29" s="2">
        <v>0.4866319298744202</v>
      </c>
      <c r="C29" s="1">
        <v>170</v>
      </c>
      <c r="D29" s="1">
        <v>4</v>
      </c>
      <c r="E29" s="1">
        <v>170</v>
      </c>
      <c r="F29" s="1">
        <v>0</v>
      </c>
      <c r="G29" s="1">
        <v>0</v>
      </c>
      <c r="H29" s="1">
        <v>4</v>
      </c>
    </row>
    <row r="30" spans="1:8">
      <c r="A30" s="1" t="s">
        <v>29</v>
      </c>
      <c r="B30" s="2">
        <v>0.3377798199653626</v>
      </c>
      <c r="C30" s="1">
        <v>118</v>
      </c>
      <c r="D30" s="1">
        <v>0</v>
      </c>
      <c r="E30" s="1">
        <v>118</v>
      </c>
      <c r="F30" s="1">
        <v>0</v>
      </c>
      <c r="G30" s="1">
        <v>0</v>
      </c>
      <c r="H30" s="1">
        <v>0</v>
      </c>
    </row>
    <row r="31" spans="1:8">
      <c r="A31" s="1" t="s">
        <v>30</v>
      </c>
      <c r="B31" s="2">
        <v>0.3320547342300415</v>
      </c>
      <c r="C31" s="1">
        <v>116</v>
      </c>
      <c r="D31" s="1">
        <v>0</v>
      </c>
      <c r="E31" s="1">
        <v>116</v>
      </c>
      <c r="F31" s="1">
        <v>0</v>
      </c>
      <c r="G31" s="1">
        <v>0</v>
      </c>
      <c r="H31" s="1">
        <v>0</v>
      </c>
    </row>
    <row r="32" spans="1:8">
      <c r="A32" s="1" t="s">
        <v>31</v>
      </c>
      <c r="B32" s="2">
        <v>0.2805289924144745</v>
      </c>
      <c r="C32" s="1">
        <v>98</v>
      </c>
      <c r="D32" s="1">
        <v>0</v>
      </c>
      <c r="E32" s="1">
        <v>98</v>
      </c>
      <c r="F32" s="1">
        <v>0</v>
      </c>
      <c r="G32" s="1">
        <v>0</v>
      </c>
      <c r="H32" s="1">
        <v>0</v>
      </c>
    </row>
    <row r="33" spans="1:8">
      <c r="A33" s="1" t="s">
        <v>32</v>
      </c>
      <c r="B33" s="2">
        <v>0.2690788209438324</v>
      </c>
      <c r="C33" s="1">
        <v>94</v>
      </c>
      <c r="D33" s="1">
        <v>0</v>
      </c>
      <c r="E33" s="1">
        <v>94</v>
      </c>
      <c r="F33" s="1">
        <v>0</v>
      </c>
      <c r="G33" s="1">
        <v>0</v>
      </c>
      <c r="H33" s="1">
        <v>0</v>
      </c>
    </row>
    <row r="34" spans="1:8">
      <c r="A34" s="1" t="s">
        <v>33</v>
      </c>
      <c r="B34" s="2">
        <v>0.2290032655000687</v>
      </c>
      <c r="C34" s="1">
        <v>80</v>
      </c>
      <c r="D34" s="1">
        <v>0</v>
      </c>
      <c r="E34" s="1">
        <v>80</v>
      </c>
      <c r="F34" s="1">
        <v>0</v>
      </c>
      <c r="G34" s="1">
        <v>0</v>
      </c>
      <c r="H34" s="1">
        <v>0</v>
      </c>
    </row>
    <row r="35" spans="1:8">
      <c r="A35" s="1" t="s">
        <v>34</v>
      </c>
      <c r="B35" s="2">
        <v>0.1488521248102188</v>
      </c>
      <c r="C35" s="1">
        <v>52</v>
      </c>
      <c r="D35" s="1">
        <v>0</v>
      </c>
      <c r="E35" s="1">
        <v>52</v>
      </c>
      <c r="F35" s="1">
        <v>0</v>
      </c>
      <c r="G35" s="1">
        <v>0</v>
      </c>
      <c r="H35" s="1">
        <v>0</v>
      </c>
    </row>
    <row r="36" spans="1:8">
      <c r="A36" s="1" t="s">
        <v>35</v>
      </c>
      <c r="B36" s="2">
        <v>0.1374019533395767</v>
      </c>
      <c r="C36" s="1">
        <v>48</v>
      </c>
      <c r="D36" s="1">
        <v>0</v>
      </c>
      <c r="E36" s="1">
        <v>48</v>
      </c>
      <c r="F36" s="1">
        <v>0</v>
      </c>
      <c r="G36" s="1">
        <v>0</v>
      </c>
      <c r="H36" s="1">
        <v>0</v>
      </c>
    </row>
    <row r="37" spans="1:8">
      <c r="A37" s="1" t="s">
        <v>36</v>
      </c>
      <c r="B37" s="2">
        <v>0.1374019533395767</v>
      </c>
      <c r="C37" s="1">
        <v>48</v>
      </c>
      <c r="D37" s="1">
        <v>0</v>
      </c>
      <c r="E37" s="1">
        <v>48</v>
      </c>
      <c r="F37" s="1">
        <v>0</v>
      </c>
      <c r="G37" s="1">
        <v>0</v>
      </c>
      <c r="H37" s="1">
        <v>0</v>
      </c>
    </row>
    <row r="38" spans="1:8">
      <c r="A38" s="1" t="s">
        <v>37</v>
      </c>
      <c r="B38" s="2">
        <v>0.1374019533395767</v>
      </c>
      <c r="C38" s="1">
        <v>48</v>
      </c>
      <c r="D38" s="1">
        <v>0</v>
      </c>
      <c r="E38" s="1">
        <v>48</v>
      </c>
      <c r="F38" s="1">
        <v>0</v>
      </c>
      <c r="G38" s="1">
        <v>0</v>
      </c>
      <c r="H38" s="1">
        <v>0</v>
      </c>
    </row>
    <row r="39" spans="1:8">
      <c r="A39" s="1" t="s">
        <v>38</v>
      </c>
      <c r="B39" s="2">
        <v>0.1259517967700958</v>
      </c>
      <c r="C39" s="1">
        <v>44</v>
      </c>
      <c r="D39" s="1">
        <v>0</v>
      </c>
      <c r="E39" s="1">
        <v>44</v>
      </c>
      <c r="F39" s="1">
        <v>0</v>
      </c>
      <c r="G39" s="1">
        <v>0</v>
      </c>
      <c r="H39" s="1">
        <v>0</v>
      </c>
    </row>
    <row r="40" spans="1:8">
      <c r="A40" s="1" t="s">
        <v>39</v>
      </c>
      <c r="B40" s="2">
        <v>0.1259517967700958</v>
      </c>
      <c r="C40" s="1">
        <v>44</v>
      </c>
      <c r="D40" s="1">
        <v>0</v>
      </c>
      <c r="E40" s="1">
        <v>44</v>
      </c>
      <c r="F40" s="1">
        <v>0</v>
      </c>
      <c r="G40" s="1">
        <v>0</v>
      </c>
      <c r="H40" s="1">
        <v>0</v>
      </c>
    </row>
    <row r="41" spans="1:8">
      <c r="A41" s="1" t="s">
        <v>40</v>
      </c>
      <c r="B41" s="2">
        <v>0.1145016327500343</v>
      </c>
      <c r="C41" s="1">
        <v>40</v>
      </c>
      <c r="D41" s="1">
        <v>0</v>
      </c>
      <c r="E41" s="1">
        <v>40</v>
      </c>
      <c r="F41" s="1">
        <v>0</v>
      </c>
      <c r="G41" s="1">
        <v>0</v>
      </c>
      <c r="H41" s="1">
        <v>0</v>
      </c>
    </row>
    <row r="42" spans="1:8">
      <c r="A42" s="1" t="s">
        <v>41</v>
      </c>
      <c r="B42" s="2">
        <v>0.1087765470147133</v>
      </c>
      <c r="C42" s="1">
        <v>38</v>
      </c>
      <c r="D42" s="1">
        <v>0</v>
      </c>
      <c r="E42" s="1">
        <v>38</v>
      </c>
      <c r="F42" s="1">
        <v>0</v>
      </c>
      <c r="G42" s="1">
        <v>0</v>
      </c>
      <c r="H42" s="1">
        <v>0</v>
      </c>
    </row>
    <row r="43" spans="1:8">
      <c r="A43" s="1" t="s">
        <v>42</v>
      </c>
      <c r="B43" s="2">
        <v>0.1030514687299728</v>
      </c>
      <c r="C43" s="1">
        <v>36</v>
      </c>
      <c r="D43" s="1">
        <v>0</v>
      </c>
      <c r="E43" s="1">
        <v>36</v>
      </c>
      <c r="F43" s="1">
        <v>0</v>
      </c>
      <c r="G43" s="1">
        <v>0</v>
      </c>
      <c r="H43" s="1">
        <v>0</v>
      </c>
    </row>
    <row r="44" spans="1:8">
      <c r="A44" s="1" t="s">
        <v>43</v>
      </c>
      <c r="B44" s="2">
        <v>0.1030514687299728</v>
      </c>
      <c r="C44" s="1">
        <v>36</v>
      </c>
      <c r="D44" s="1">
        <v>0</v>
      </c>
      <c r="E44" s="1">
        <v>36</v>
      </c>
      <c r="F44" s="1">
        <v>0</v>
      </c>
      <c r="G44" s="1">
        <v>0</v>
      </c>
      <c r="H44" s="1">
        <v>0</v>
      </c>
    </row>
    <row r="45" spans="1:8">
      <c r="A45" s="1" t="s">
        <v>44</v>
      </c>
      <c r="B45" s="2">
        <v>0.1030514687299728</v>
      </c>
      <c r="C45" s="1">
        <v>36</v>
      </c>
      <c r="D45" s="1">
        <v>0</v>
      </c>
      <c r="E45" s="1">
        <v>36</v>
      </c>
      <c r="F45" s="1">
        <v>0</v>
      </c>
      <c r="G45" s="1">
        <v>0</v>
      </c>
      <c r="H45" s="1">
        <v>0</v>
      </c>
    </row>
    <row r="46" spans="1:8">
      <c r="A46" s="1" t="s">
        <v>45</v>
      </c>
      <c r="B46" s="2">
        <v>0.09160130470991135</v>
      </c>
      <c r="C46" s="1">
        <v>32</v>
      </c>
      <c r="D46" s="1">
        <v>0</v>
      </c>
      <c r="E46" s="1">
        <v>32</v>
      </c>
      <c r="F46" s="1">
        <v>0</v>
      </c>
      <c r="G46" s="1">
        <v>0</v>
      </c>
      <c r="H46" s="1">
        <v>0</v>
      </c>
    </row>
    <row r="47" spans="1:8">
      <c r="A47" s="1" t="s">
        <v>46</v>
      </c>
      <c r="B47" s="2">
        <v>0.0858762264251709</v>
      </c>
      <c r="C47" s="1">
        <v>30</v>
      </c>
      <c r="D47" s="1">
        <v>0</v>
      </c>
      <c r="E47" s="1">
        <v>30</v>
      </c>
      <c r="F47" s="1">
        <v>0</v>
      </c>
      <c r="G47" s="1">
        <v>0</v>
      </c>
      <c r="H47" s="1">
        <v>0</v>
      </c>
    </row>
    <row r="48" spans="1:8">
      <c r="A48" s="1" t="s">
        <v>47</v>
      </c>
      <c r="B48" s="2">
        <v>0.0858762264251709</v>
      </c>
      <c r="C48" s="1">
        <v>30</v>
      </c>
      <c r="D48" s="1">
        <v>0</v>
      </c>
      <c r="E48" s="1">
        <v>30</v>
      </c>
      <c r="F48" s="1">
        <v>0</v>
      </c>
      <c r="G48" s="1">
        <v>0</v>
      </c>
      <c r="H48" s="1">
        <v>0</v>
      </c>
    </row>
    <row r="49" spans="1:8">
      <c r="A49" s="1" t="s">
        <v>48</v>
      </c>
      <c r="B49" s="2">
        <v>0.07442606240510941</v>
      </c>
      <c r="C49" s="1">
        <v>26</v>
      </c>
      <c r="D49" s="1">
        <v>0</v>
      </c>
      <c r="E49" s="1">
        <v>26</v>
      </c>
      <c r="F49" s="1">
        <v>0</v>
      </c>
      <c r="G49" s="1">
        <v>0</v>
      </c>
      <c r="H49" s="1">
        <v>0</v>
      </c>
    </row>
    <row r="50" spans="1:8">
      <c r="A50" s="1" t="s">
        <v>49</v>
      </c>
      <c r="B50" s="2">
        <v>0.05152573436498642</v>
      </c>
      <c r="C50" s="1">
        <v>18</v>
      </c>
      <c r="D50" s="1">
        <v>0</v>
      </c>
      <c r="E50" s="1">
        <v>18</v>
      </c>
      <c r="F50" s="1">
        <v>0</v>
      </c>
      <c r="G50" s="1">
        <v>0</v>
      </c>
      <c r="H50" s="1">
        <v>0</v>
      </c>
    </row>
    <row r="51" spans="1:8">
      <c r="A51" s="1" t="s">
        <v>50</v>
      </c>
      <c r="B51" s="2">
        <v>0.02290032617747784</v>
      </c>
      <c r="C51" s="1">
        <v>8</v>
      </c>
      <c r="D51" s="1">
        <v>0</v>
      </c>
      <c r="E51" s="1">
        <v>8</v>
      </c>
      <c r="F51" s="1">
        <v>0</v>
      </c>
      <c r="G51" s="1">
        <v>0</v>
      </c>
      <c r="H51" s="1">
        <v>0</v>
      </c>
    </row>
    <row r="52" spans="1:8">
      <c r="A52" s="1" t="s">
        <v>51</v>
      </c>
      <c r="B52" s="2">
        <v>0.02290032617747784</v>
      </c>
      <c r="C52" s="1">
        <v>8</v>
      </c>
      <c r="D52" s="1">
        <v>0</v>
      </c>
      <c r="E52" s="1">
        <v>8</v>
      </c>
      <c r="F52" s="1">
        <v>0</v>
      </c>
      <c r="G52" s="1">
        <v>0</v>
      </c>
      <c r="H52" s="1">
        <v>0</v>
      </c>
    </row>
    <row r="53" spans="1:8">
      <c r="A53" s="1" t="s">
        <v>11</v>
      </c>
      <c r="B53" s="2">
        <v>0.01145016308873892</v>
      </c>
      <c r="C53" s="1">
        <v>4</v>
      </c>
      <c r="D53" s="1">
        <v>4</v>
      </c>
      <c r="E53" s="1">
        <v>0</v>
      </c>
      <c r="F53" s="1">
        <v>0</v>
      </c>
      <c r="G53" s="1">
        <v>4</v>
      </c>
      <c r="H53" s="1">
        <v>0</v>
      </c>
    </row>
    <row r="54" spans="1:8">
      <c r="A54" s="1" t="s">
        <v>52</v>
      </c>
      <c r="B54" s="2">
        <v>0.01145016308873892</v>
      </c>
      <c r="C54" s="1">
        <v>4</v>
      </c>
      <c r="D54" s="1">
        <v>0</v>
      </c>
      <c r="E54" s="1">
        <v>4</v>
      </c>
      <c r="F54" s="1">
        <v>0</v>
      </c>
      <c r="G54" s="1">
        <v>0</v>
      </c>
      <c r="H54" s="1">
        <v>0</v>
      </c>
    </row>
    <row r="55" spans="1:8">
      <c r="A55" t="s">
        <v>54</v>
      </c>
      <c r="B55">
        <f>SUBTOTAL(109,[flash_percent])</f>
        <v>0</v>
      </c>
      <c r="C55">
        <f>SUBTOTAL(109,[flash])</f>
        <v>0</v>
      </c>
      <c r="D55">
        <f>SUBTOTAL(109,[ram])</f>
        <v>0</v>
      </c>
      <c r="E55">
        <f>SUBTOTAL(109,[Code])</f>
        <v>0</v>
      </c>
      <c r="F55">
        <f>SUBTOTAL(109,[RO_data])</f>
        <v>0</v>
      </c>
      <c r="G55">
        <f>SUBTOTAL(109,[RW_data])</f>
        <v>0</v>
      </c>
      <c r="H55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2026-10-20T09:47:05Z</dcterms:created>
  <dcterms:modified xsi:type="dcterms:W3CDTF">2026-10-20T09:47:05Z</dcterms:modified>
</cp:coreProperties>
</file>